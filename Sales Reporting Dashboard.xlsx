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xr:revisionPtr revIDLastSave="0" documentId="8_{A0A391A8-2024-4332-A300-1305FB838D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" sheetId="1" r:id="rId1"/>
    <sheet name="Pivot Table" sheetId="2" r:id="rId2"/>
    <sheet name="Summary" sheetId="3" r:id="rId3"/>
  </sheets>
  <calcPr calcId="191028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<sst xmlns="http://schemas.openxmlformats.org/spreadsheetml/2006/main" count="149" uniqueCount="61">
  <si>
    <t>Order_ID</t>
  </si>
  <si>
    <t>Date</t>
  </si>
  <si>
    <t>Salesperson</t>
  </si>
  <si>
    <t>Region</t>
  </si>
  <si>
    <t>Product</t>
  </si>
  <si>
    <t>Units_Sold</t>
  </si>
  <si>
    <t>Unit_Price</t>
  </si>
  <si>
    <t>Payment_Status</t>
  </si>
  <si>
    <t>Revenue</t>
  </si>
  <si>
    <t>ORD-001</t>
  </si>
  <si>
    <t>Ali</t>
  </si>
  <si>
    <t>North</t>
  </si>
  <si>
    <t>Product A</t>
  </si>
  <si>
    <t>Paid</t>
  </si>
  <si>
    <t>ORD-002</t>
  </si>
  <si>
    <t>Sara</t>
  </si>
  <si>
    <t>South</t>
  </si>
  <si>
    <t>Product B</t>
  </si>
  <si>
    <t>Unpaid</t>
  </si>
  <si>
    <t>ORD-003</t>
  </si>
  <si>
    <t>Ahmed</t>
  </si>
  <si>
    <t>East</t>
  </si>
  <si>
    <t>Product C</t>
  </si>
  <si>
    <t>ORD-004</t>
  </si>
  <si>
    <t>15-03-2024</t>
  </si>
  <si>
    <t>West</t>
  </si>
  <si>
    <t>Pending</t>
  </si>
  <si>
    <t>ORD-005</t>
  </si>
  <si>
    <t>20/03/2024</t>
  </si>
  <si>
    <t>Product D</t>
  </si>
  <si>
    <t>ORD-006</t>
  </si>
  <si>
    <t>ORD-007</t>
  </si>
  <si>
    <t>Usman</t>
  </si>
  <si>
    <t>ORD-008</t>
  </si>
  <si>
    <t>ORD-009</t>
  </si>
  <si>
    <t>18/04/2024</t>
  </si>
  <si>
    <t>ORD-010</t>
  </si>
  <si>
    <t>25/04/2024</t>
  </si>
  <si>
    <t>ORD-011</t>
  </si>
  <si>
    <t>ORD-012</t>
  </si>
  <si>
    <t>ORD-013</t>
  </si>
  <si>
    <t>14/05/2024</t>
  </si>
  <si>
    <t>ORD-014</t>
  </si>
  <si>
    <t>20/05/2024</t>
  </si>
  <si>
    <t>ORD-015</t>
  </si>
  <si>
    <t>28/05/2024</t>
  </si>
  <si>
    <t>ORD-016</t>
  </si>
  <si>
    <t>ORD-017</t>
  </si>
  <si>
    <t>ORD-018</t>
  </si>
  <si>
    <t>17/06/2024</t>
  </si>
  <si>
    <t>ORD-019</t>
  </si>
  <si>
    <t>22/06/2024</t>
  </si>
  <si>
    <t>ORD-020</t>
  </si>
  <si>
    <t>30/06/2024</t>
  </si>
  <si>
    <t>Total Revenue</t>
  </si>
  <si>
    <t>Grand Total</t>
  </si>
  <si>
    <t>Payment Status</t>
  </si>
  <si>
    <t>Summary</t>
  </si>
  <si>
    <t>Total Paid revenue is $67,000</t>
  </si>
  <si>
    <t>Total unpaid revenue is $10,800</t>
  </si>
  <si>
    <t>Total pending revenue is $14,000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</si>
</sst>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8" formatCode="yyyy\-mm\-dd;@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pivotButton="1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8" fontId="1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&quot;$&quot;#,##0"/>
    </dxf>
    <dxf>
      <numFmt numFmtId="168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Reporting Dashboard.xlsx]Pivot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West Region has higher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Table'!$B$4:$B$8</c:f>
              <c:numCache>
                <c:formatCode>"$"#,##0</c:formatCode>
                <c:ptCount val="4"/>
                <c:pt idx="0">
                  <c:v>21600</c:v>
                </c:pt>
                <c:pt idx="1">
                  <c:v>24500</c:v>
                </c:pt>
                <c:pt idx="2">
                  <c:v>20750</c:v>
                </c:pt>
                <c:pt idx="3">
                  <c:v>24950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7-4924-A922-5505F7455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204743"/>
        <c:axId val="1489206791"/>
      </c:barChart>
      <c:catAx>
        <c:axId val="1489204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206791"/>
        <c:crosses val="autoZero"/>
        <c:auto val="1"/>
        <c:lblAlgn val="ctr"/>
        <c:lblOffset val="100"/>
        <c:noMultiLvlLbl val="0"/>
      </c:catAx>
      <c:valAx>
        <c:axId val="1489206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204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Reporting Dashboard.xlsx]Pivot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Ahmed generates the higher revenue accounting for 31%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Table'!$A$54:$A$58</c:f>
              <c:strCache>
                <c:ptCount val="4"/>
                <c:pt idx="0">
                  <c:v>Ahmed</c:v>
                </c:pt>
                <c:pt idx="1">
                  <c:v>Ali</c:v>
                </c:pt>
                <c:pt idx="2">
                  <c:v>Sara</c:v>
                </c:pt>
                <c:pt idx="3">
                  <c:v>Usman</c:v>
                </c:pt>
              </c:strCache>
            </c:strRef>
          </c:cat>
          <c:val>
            <c:numRef>
              <c:f>'Pivot Table'!$B$54:$B$58</c:f>
              <c:numCache>
                <c:formatCode>"$"#,##0</c:formatCode>
                <c:ptCount val="4"/>
                <c:pt idx="0">
                  <c:v>28300</c:v>
                </c:pt>
                <c:pt idx="1">
                  <c:v>23250</c:v>
                </c:pt>
                <c:pt idx="2">
                  <c:v>22350</c:v>
                </c:pt>
                <c:pt idx="3">
                  <c:v>17900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D-4819-982F-80CF181AD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365767"/>
        <c:axId val="1629367815"/>
      </c:barChart>
      <c:catAx>
        <c:axId val="1629365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67815"/>
        <c:crosses val="autoZero"/>
        <c:auto val="1"/>
        <c:lblAlgn val="ctr"/>
        <c:lblOffset val="100"/>
        <c:noMultiLvlLbl val="0"/>
      </c:catAx>
      <c:valAx>
        <c:axId val="1629367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65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Reporting Dashboard.xlsx]Pivot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 generates higher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Table'!$A$83:$A$87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'Pivot Table'!$B$83:$B$87</c:f>
              <c:numCache>
                <c:formatCode>"$"#,##0</c:formatCode>
                <c:ptCount val="4"/>
                <c:pt idx="0">
                  <c:v>31500</c:v>
                </c:pt>
                <c:pt idx="1">
                  <c:v>24000</c:v>
                </c:pt>
                <c:pt idx="2">
                  <c:v>7800</c:v>
                </c:pt>
                <c:pt idx="3">
                  <c:v>28500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C-40EF-9D89-18AB05677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6805767"/>
        <c:axId val="119667720"/>
      </c:barChart>
      <c:catAx>
        <c:axId val="2146805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67720"/>
        <c:crosses val="autoZero"/>
        <c:auto val="1"/>
        <c:lblAlgn val="ctr"/>
        <c:lblOffset val="100"/>
        <c:noMultiLvlLbl val="0"/>
      </c:catAx>
      <c:valAx>
        <c:axId val="11966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05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Reporting Dashboard.xlsx]Pivot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West Region has higher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Table'!$B$4:$B$8</c:f>
              <c:numCache>
                <c:formatCode>"$"#,##0</c:formatCode>
                <c:ptCount val="4"/>
                <c:pt idx="0">
                  <c:v>21600</c:v>
                </c:pt>
                <c:pt idx="1">
                  <c:v>24500</c:v>
                </c:pt>
                <c:pt idx="2">
                  <c:v>20750</c:v>
                </c:pt>
                <c:pt idx="3">
                  <c:v>24950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5-419E-953C-4CE29551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7926408"/>
        <c:axId val="997928456"/>
      </c:barChart>
      <c:catAx>
        <c:axId val="997926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928456"/>
        <c:crosses val="autoZero"/>
        <c:auto val="1"/>
        <c:lblAlgn val="ctr"/>
        <c:lblOffset val="100"/>
        <c:noMultiLvlLbl val="0"/>
      </c:catAx>
      <c:valAx>
        <c:axId val="997928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926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Reporting Dashboard.xlsx]Pivot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Ahmed generates the higher revenue accounting for 31%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Table'!$A$54:$A$58</c:f>
              <c:strCache>
                <c:ptCount val="4"/>
                <c:pt idx="0">
                  <c:v>Ahmed</c:v>
                </c:pt>
                <c:pt idx="1">
                  <c:v>Ali</c:v>
                </c:pt>
                <c:pt idx="2">
                  <c:v>Sara</c:v>
                </c:pt>
                <c:pt idx="3">
                  <c:v>Usman</c:v>
                </c:pt>
              </c:strCache>
            </c:strRef>
          </c:cat>
          <c:val>
            <c:numRef>
              <c:f>'Pivot Table'!$B$54:$B$58</c:f>
              <c:numCache>
                <c:formatCode>"$"#,##0</c:formatCode>
                <c:ptCount val="4"/>
                <c:pt idx="0">
                  <c:v>28300</c:v>
                </c:pt>
                <c:pt idx="1">
                  <c:v>23250</c:v>
                </c:pt>
                <c:pt idx="2">
                  <c:v>22350</c:v>
                </c:pt>
                <c:pt idx="3">
                  <c:v>17900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5-4293-8EAF-A9D144641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6957192"/>
        <c:axId val="556535816"/>
      </c:barChart>
      <c:catAx>
        <c:axId val="996957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35816"/>
        <c:crosses val="autoZero"/>
        <c:auto val="1"/>
        <c:lblAlgn val="ctr"/>
        <c:lblOffset val="100"/>
        <c:noMultiLvlLbl val="0"/>
      </c:catAx>
      <c:valAx>
        <c:axId val="556535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957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Reporting Dashboard.xlsx]Pivot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 generates higher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Table'!$A$83:$A$87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'Pivot Table'!$B$83:$B$87</c:f>
              <c:numCache>
                <c:formatCode>"$"#,##0</c:formatCode>
                <c:ptCount val="4"/>
                <c:pt idx="0">
                  <c:v>31500</c:v>
                </c:pt>
                <c:pt idx="1">
                  <c:v>24000</c:v>
                </c:pt>
                <c:pt idx="2">
                  <c:v>7800</c:v>
                </c:pt>
                <c:pt idx="3">
                  <c:v>28500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4-4393-B902-83ADFD155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6416520"/>
        <c:axId val="556418568"/>
      </c:barChart>
      <c:catAx>
        <c:axId val="556416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418568"/>
        <c:crosses val="autoZero"/>
        <c:auto val="1"/>
        <c:lblAlgn val="ctr"/>
        <c:lblOffset val="100"/>
        <c:noMultiLvlLbl val="0"/>
      </c:catAx>
      <c:valAx>
        <c:axId val="556418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41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Summary!$H$4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E1BF-4E83-AA22-AB489A71B1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BF-4E83-AA22-AB489A71B1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1BF-4E83-AA22-AB489A71B1F6}"/>
              </c:ext>
            </c:extLst>
          </c:dPt>
          <c:dLbls>
            <c:dLbl>
              <c:idx val="0"/>
              <c:layout>
                <c:manualLayout>
                  <c:x val="1.8382593980292426E-2"/>
                  <c:y val="-3.819898340208879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$67000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E1BF-4E83-AA22-AB489A71B1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$10800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1BF-4E83-AA22-AB489A71B1F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$14000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1BF-4E83-AA22-AB489A71B1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Summary!$G$5:$G$7</c:f>
              <c:strCache>
                <c:ptCount val="3"/>
                <c:pt idx="0">
                  <c:v>Paid</c:v>
                </c:pt>
                <c:pt idx="1">
                  <c:v>Unpaid</c:v>
                </c:pt>
                <c:pt idx="2">
                  <c:v>Pending</c:v>
                </c:pt>
              </c:strCache>
            </c:strRef>
          </c:cat>
          <c:val>
            <c:numRef>
              <c:f>Summary!$H$5:$H$7</c:f>
              <c:numCache>
                <c:formatCode>General</c:formatCode>
                <c:ptCount val="3"/>
                <c:pt idx="0">
                  <c:v>67000</c:v>
                </c:pt>
                <c:pt idx="1">
                  <c:v>10800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3-4F42-99D4-03183198E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1</xdr:row>
      <xdr:rowOff>152400</xdr:rowOff>
    </xdr:from>
    <xdr:to>
      <xdr:col>10</xdr:col>
      <xdr:colOff>409575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F2C127-35F3-28ED-3602-26DFFCE89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333375</xdr:colOff>
      <xdr:row>48</xdr:row>
      <xdr:rowOff>0</xdr:rowOff>
    </xdr:from>
    <xdr:to>
      <xdr:col>11</xdr:col>
      <xdr:colOff>28575</xdr:colOff>
      <xdr:row>62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16C270-1241-2744-A472-E6A6D3036FA6}"/>
            </a:ext>
            <a:ext uri="{147F2762-F138-4A5C-976F-8EAC2B608ADB}">
              <a16:predDERef xmlns:a16="http://schemas.microsoft.com/office/drawing/2014/main" pred="{EBF2C127-35F3-28ED-3602-26DFFCE89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238125</xdr:colOff>
      <xdr:row>82</xdr:row>
      <xdr:rowOff>38100</xdr:rowOff>
    </xdr:from>
    <xdr:to>
      <xdr:col>10</xdr:col>
      <xdr:colOff>542925</xdr:colOff>
      <xdr:row>96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AC8FED-7A15-FEF2-05E4-924522E139C8}"/>
            </a:ext>
            <a:ext uri="{147F2762-F138-4A5C-976F-8EAC2B608ADB}">
              <a16:predDERef xmlns:a16="http://schemas.microsoft.com/office/drawing/2014/main" pred="{1A16C270-1241-2744-A472-E6A6D3036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171450</xdr:colOff>
      <xdr:row>19</xdr:row>
      <xdr:rowOff>9525</xdr:rowOff>
    </xdr:from>
    <xdr:to>
      <xdr:col>10</xdr:col>
      <xdr:colOff>476250</xdr:colOff>
      <xdr:row>33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FA89E-7ABF-390A-E3D0-373C52B9D54C}"/>
            </a:ext>
            <a:ext uri="{147F2762-F138-4A5C-976F-8EAC2B608ADB}">
              <a16:predDERef xmlns:a16="http://schemas.microsoft.com/office/drawing/2014/main" pred="{CEAC8FED-7A15-FEF2-05E4-924522E13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314325</xdr:colOff>
      <xdr:row>63</xdr:row>
      <xdr:rowOff>114300</xdr:rowOff>
    </xdr:from>
    <xdr:to>
      <xdr:col>11</xdr:col>
      <xdr:colOff>9525</xdr:colOff>
      <xdr:row>78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FB502C-0104-12C5-715F-28C57ADF43B2}"/>
            </a:ext>
            <a:ext uri="{147F2762-F138-4A5C-976F-8EAC2B608ADB}">
              <a16:predDERef xmlns:a16="http://schemas.microsoft.com/office/drawing/2014/main" pred="{EA7FA89E-7ABF-390A-E3D0-373C52B9D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390525</xdr:colOff>
      <xdr:row>98</xdr:row>
      <xdr:rowOff>123825</xdr:rowOff>
    </xdr:from>
    <xdr:to>
      <xdr:col>11</xdr:col>
      <xdr:colOff>85725</xdr:colOff>
      <xdr:row>113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D55C47-DE51-1756-C5C3-88A3B202143A}"/>
            </a:ext>
            <a:ext uri="{147F2762-F138-4A5C-976F-8EAC2B608ADB}">
              <a16:predDERef xmlns:a16="http://schemas.microsoft.com/office/drawing/2014/main" pred="{5AFB502C-0104-12C5-715F-28C57ADF4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1</xdr:row>
      <xdr:rowOff>104775</xdr:rowOff>
    </xdr:from>
    <xdr:to>
      <xdr:col>14</xdr:col>
      <xdr:colOff>95250</xdr:colOff>
      <xdr:row>12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C48F61-52A7-7A87-29A5-B4508696A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362949884257" createdVersion="8" refreshedVersion="8" minRefreshableVersion="3" recordCount="20" xr:uid="{8EC965CF-0C98-4C95-9E91-B495DBA2FD65}">
  <cacheSource type="worksheet">
    <worksheetSource name="Table1"/>
  </cacheSource>
  <cacheFields count="9">
    <cacheField name="Order_ID" numFmtId="0">
      <sharedItems/>
    </cacheField>
    <cacheField name="Date" numFmtId="0">
      <sharedItems containsDate="1" containsMixedTypes="1" minDate="2024-01-03T00:00:00" maxDate="2024-12-05T00:00:00"/>
    </cacheField>
    <cacheField name="Salesperson" numFmtId="0">
      <sharedItems count="4">
        <s v="Ali"/>
        <s v="Sara"/>
        <s v="Ahmed"/>
        <s v="Usman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Product A"/>
        <s v="Product B"/>
        <s v="Product C"/>
        <s v="Product D"/>
      </sharedItems>
    </cacheField>
    <cacheField name="Units_Sold" numFmtId="0">
      <sharedItems containsSemiMixedTypes="0" containsString="0" containsNumber="1" containsInteger="1" minValue="3" maxValue="12"/>
    </cacheField>
    <cacheField name="Unit_Price" numFmtId="0">
      <sharedItems containsSemiMixedTypes="0" containsString="0" containsNumber="1" containsInteger="1" minValue="300" maxValue="950"/>
    </cacheField>
    <cacheField name="Payment_Status" numFmtId="0">
      <sharedItems/>
    </cacheField>
    <cacheField name="Revenue" numFmtId="164">
      <sharedItems containsSemiMixedTypes="0" containsString="0" containsNumber="1" containsInteger="1" minValue="1200" maxValue="7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RD-001"/>
    <d v="2024-01-03T00:00:00"/>
    <x v="0"/>
    <x v="0"/>
    <x v="0"/>
    <n v="10"/>
    <n v="500"/>
    <s v="Paid"/>
    <n v="5000"/>
  </r>
  <r>
    <s v="ORD-002"/>
    <d v="2024-05-03T00:00:00"/>
    <x v="1"/>
    <x v="1"/>
    <x v="1"/>
    <n v="5"/>
    <n v="800"/>
    <s v="Unpaid"/>
    <n v="4000"/>
  </r>
  <r>
    <s v="ORD-003"/>
    <d v="2024-10-03T00:00:00"/>
    <x v="2"/>
    <x v="2"/>
    <x v="2"/>
    <n v="8"/>
    <n v="300"/>
    <s v="Paid"/>
    <n v="2400"/>
  </r>
  <r>
    <s v="ORD-004"/>
    <s v="15/03/2024"/>
    <x v="0"/>
    <x v="3"/>
    <x v="0"/>
    <n v="12"/>
    <n v="500"/>
    <s v="Pending"/>
    <n v="6000"/>
  </r>
  <r>
    <s v="ORD-005"/>
    <s v="20/03/2024"/>
    <x v="1"/>
    <x v="0"/>
    <x v="3"/>
    <n v="6"/>
    <n v="950"/>
    <s v="Paid"/>
    <n v="5700"/>
  </r>
  <r>
    <s v="ORD-006"/>
    <d v="2024-02-04T00:00:00"/>
    <x v="2"/>
    <x v="1"/>
    <x v="1"/>
    <n v="9"/>
    <n v="800"/>
    <s v="Paid"/>
    <n v="7200"/>
  </r>
  <r>
    <s v="ORD-007"/>
    <d v="2024-08-04T00:00:00"/>
    <x v="3"/>
    <x v="2"/>
    <x v="2"/>
    <n v="4"/>
    <n v="300"/>
    <s v="Unpaid"/>
    <n v="1200"/>
  </r>
  <r>
    <s v="ORD-008"/>
    <d v="2024-12-04T00:00:00"/>
    <x v="0"/>
    <x v="3"/>
    <x v="3"/>
    <n v="7"/>
    <n v="950"/>
    <s v="Paid"/>
    <n v="6650"/>
  </r>
  <r>
    <s v="ORD-009"/>
    <s v="18/04/2024"/>
    <x v="1"/>
    <x v="0"/>
    <x v="0"/>
    <n v="11"/>
    <n v="500"/>
    <s v="Paid"/>
    <n v="5500"/>
  </r>
  <r>
    <s v="ORD-010"/>
    <s v="25/04/2024"/>
    <x v="3"/>
    <x v="1"/>
    <x v="1"/>
    <n v="3"/>
    <n v="800"/>
    <s v="Pending"/>
    <n v="2400"/>
  </r>
  <r>
    <s v="ORD-011"/>
    <d v="2024-03-05T00:00:00"/>
    <x v="2"/>
    <x v="2"/>
    <x v="3"/>
    <n v="8"/>
    <n v="950"/>
    <s v="Paid"/>
    <n v="7600"/>
  </r>
  <r>
    <s v="ORD-012"/>
    <d v="2024-09-05T00:00:00"/>
    <x v="0"/>
    <x v="3"/>
    <x v="2"/>
    <n v="6"/>
    <n v="300"/>
    <s v="Unpaid"/>
    <n v="1800"/>
  </r>
  <r>
    <s v="ORD-013"/>
    <s v="14/05/2024"/>
    <x v="3"/>
    <x v="0"/>
    <x v="0"/>
    <n v="9"/>
    <n v="500"/>
    <s v="Paid"/>
    <n v="4500"/>
  </r>
  <r>
    <s v="ORD-014"/>
    <s v="20/05/2024"/>
    <x v="1"/>
    <x v="1"/>
    <x v="3"/>
    <n v="5"/>
    <n v="950"/>
    <s v="Paid"/>
    <n v="4750"/>
  </r>
  <r>
    <s v="ORD-015"/>
    <s v="28/05/2024"/>
    <x v="2"/>
    <x v="2"/>
    <x v="1"/>
    <n v="7"/>
    <n v="800"/>
    <s v="Pending"/>
    <n v="5600"/>
  </r>
  <r>
    <s v="ORD-016"/>
    <d v="2024-04-06T00:00:00"/>
    <x v="3"/>
    <x v="3"/>
    <x v="0"/>
    <n v="10"/>
    <n v="500"/>
    <s v="Paid"/>
    <n v="5000"/>
  </r>
  <r>
    <s v="ORD-017"/>
    <d v="2024-11-06T00:00:00"/>
    <x v="0"/>
    <x v="0"/>
    <x v="3"/>
    <n v="4"/>
    <n v="950"/>
    <s v="Unpaid"/>
    <n v="3800"/>
  </r>
  <r>
    <s v="ORD-018"/>
    <s v="17/06/2024"/>
    <x v="1"/>
    <x v="1"/>
    <x v="2"/>
    <n v="8"/>
    <n v="300"/>
    <s v="Paid"/>
    <n v="2400"/>
  </r>
  <r>
    <s v="ORD-019"/>
    <s v="22/06/2024"/>
    <x v="3"/>
    <x v="2"/>
    <x v="1"/>
    <n v="6"/>
    <n v="800"/>
    <s v="Paid"/>
    <n v="4800"/>
  </r>
  <r>
    <s v="ORD-020"/>
    <s v="30/06/2024"/>
    <x v="2"/>
    <x v="3"/>
    <x v="0"/>
    <n v="11"/>
    <n v="500"/>
    <s v="Paid"/>
    <n v="5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20E06-254E-48BF-8626-6188B4D607F6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53:B58" firstHeaderRow="1" firstDataRow="1" firstDataCol="1"/>
  <pivotFields count="9"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8" baseField="0" baseItem="0" numFmtId="164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DC8F0-45D8-4740-9B56-38314EB06C4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8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8" baseField="0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A436D-FA3A-4CCE-8E1B-F90D7D9DE498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82:B87" firstHeaderRow="1" firstDataRow="1" firstDataCol="1"/>
  <pivotFields count="9"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8" baseField="0" baseItem="0" numFmtId="16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EF7AF-5B76-4DCC-9680-2869E5793C01}" name="Table1" displayName="Table1" ref="A1:I21" totalsRowShown="0" headerRowDxfId="3">
  <autoFilter ref="A1:I21" xr:uid="{A9DEF7AF-5B76-4DCC-9680-2869E5793C01}"/>
  <tableColumns count="9">
    <tableColumn id="1" xr3:uid="{01D849B2-3CCC-457D-A809-6F91EE20A5EA}" name="Order_ID"/>
    <tableColumn id="2" xr3:uid="{B7BB723C-0618-4CA8-901E-88F7D9FE101D}" name="Date" dataDxfId="2"/>
    <tableColumn id="3" xr3:uid="{8D5B91D2-66DD-4AA5-981D-19E0D55F4647}" name="Salesperson"/>
    <tableColumn id="4" xr3:uid="{D54C0712-ADA9-4599-93CA-6E52C41E7088}" name="Region"/>
    <tableColumn id="5" xr3:uid="{5571F613-448B-4796-B352-0E3E9016FA96}" name="Product"/>
    <tableColumn id="6" xr3:uid="{501E0A55-0E52-4BD0-A718-03D42B14EDC0}" name="Units_Sold"/>
    <tableColumn id="7" xr3:uid="{9B8C2BC0-A24A-4F5A-A2EC-F993C08F7FFF}" name="Unit_Price"/>
    <tableColumn id="9" xr3:uid="{A4D884A3-53B4-4A82-83F9-98166E0D0C78}" name="Payment_Status"/>
    <tableColumn id="10" xr3:uid="{AFDFEDDC-AB31-44FA-937A-232CF9E95DA2}" name="Revenue" dataDxfId="1">
      <calculatedColumnFormula>F2*G2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F677A4-D30C-402F-BFB7-A19B60288CD4}" name="Table3" displayName="Table3" ref="G4:H7" totalsRowShown="0" headerRowDxfId="0">
  <autoFilter ref="G4:H7" xr:uid="{E4F677A4-D30C-402F-BFB7-A19B60288CD4}"/>
  <tableColumns count="2">
    <tableColumn id="1" xr3:uid="{72C90B48-447A-4348-81DD-B1ECB1D37637}" name="Payment Status"/>
    <tableColumn id="2" xr3:uid="{22578C33-27F5-4CBE-A8DB-7C044F967F7E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J4" sqref="J4"/>
    </sheetView>
  </sheetViews>
  <sheetFormatPr defaultRowHeight="15"/>
  <cols>
    <col min="1" max="1" width="11" bestFit="1" customWidth="1"/>
    <col min="2" max="2" width="10.85546875" style="8" bestFit="1" customWidth="1"/>
    <col min="3" max="3" width="14.140625" bestFit="1" customWidth="1"/>
    <col min="5" max="5" width="10.140625" bestFit="1" customWidth="1"/>
    <col min="6" max="6" width="12.7109375" bestFit="1" customWidth="1"/>
    <col min="7" max="7" width="12.28515625" bestFit="1" customWidth="1"/>
    <col min="8" max="8" width="17.5703125" bestFit="1" customWidth="1"/>
    <col min="9" max="9" width="11.85546875" style="3" bestFit="1" customWidth="1"/>
  </cols>
  <sheetData>
    <row r="1" spans="1:9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t="s">
        <v>9</v>
      </c>
      <c r="B2" s="8">
        <v>45294</v>
      </c>
      <c r="C2" t="s">
        <v>10</v>
      </c>
      <c r="D2" t="s">
        <v>11</v>
      </c>
      <c r="E2" t="s">
        <v>12</v>
      </c>
      <c r="F2">
        <v>10</v>
      </c>
      <c r="G2">
        <v>500</v>
      </c>
      <c r="H2" t="s">
        <v>13</v>
      </c>
      <c r="I2" s="3">
        <f>F2*G2</f>
        <v>5000</v>
      </c>
    </row>
    <row r="3" spans="1:9">
      <c r="A3" t="s">
        <v>14</v>
      </c>
      <c r="B3" s="8">
        <v>45415</v>
      </c>
      <c r="C3" t="s">
        <v>15</v>
      </c>
      <c r="D3" t="s">
        <v>16</v>
      </c>
      <c r="E3" t="s">
        <v>17</v>
      </c>
      <c r="F3">
        <v>5</v>
      </c>
      <c r="G3">
        <v>800</v>
      </c>
      <c r="H3" t="s">
        <v>18</v>
      </c>
      <c r="I3" s="3">
        <f>F3*G3</f>
        <v>4000</v>
      </c>
    </row>
    <row r="4" spans="1:9">
      <c r="A4" t="s">
        <v>19</v>
      </c>
      <c r="B4" s="8">
        <v>45568</v>
      </c>
      <c r="C4" t="s">
        <v>20</v>
      </c>
      <c r="D4" t="s">
        <v>21</v>
      </c>
      <c r="E4" t="s">
        <v>22</v>
      </c>
      <c r="F4">
        <v>8</v>
      </c>
      <c r="G4">
        <v>300</v>
      </c>
      <c r="H4" t="s">
        <v>13</v>
      </c>
      <c r="I4" s="3">
        <f>F4*G4</f>
        <v>2400</v>
      </c>
    </row>
    <row r="5" spans="1:9">
      <c r="A5" t="s">
        <v>23</v>
      </c>
      <c r="B5" s="8" t="s">
        <v>24</v>
      </c>
      <c r="C5" t="s">
        <v>10</v>
      </c>
      <c r="D5" t="s">
        <v>25</v>
      </c>
      <c r="E5" t="s">
        <v>12</v>
      </c>
      <c r="F5">
        <v>12</v>
      </c>
      <c r="G5">
        <v>500</v>
      </c>
      <c r="H5" t="s">
        <v>26</v>
      </c>
      <c r="I5" s="3">
        <f>F5*G5</f>
        <v>6000</v>
      </c>
    </row>
    <row r="6" spans="1:9">
      <c r="A6" t="s">
        <v>27</v>
      </c>
      <c r="B6" s="8" t="s">
        <v>28</v>
      </c>
      <c r="C6" t="s">
        <v>15</v>
      </c>
      <c r="D6" t="s">
        <v>11</v>
      </c>
      <c r="E6" t="s">
        <v>29</v>
      </c>
      <c r="F6">
        <v>6</v>
      </c>
      <c r="G6">
        <v>950</v>
      </c>
      <c r="H6" t="s">
        <v>13</v>
      </c>
      <c r="I6" s="3">
        <f>F6*G6</f>
        <v>5700</v>
      </c>
    </row>
    <row r="7" spans="1:9">
      <c r="A7" t="s">
        <v>30</v>
      </c>
      <c r="B7" s="8">
        <v>45326</v>
      </c>
      <c r="C7" t="s">
        <v>20</v>
      </c>
      <c r="D7" t="s">
        <v>16</v>
      </c>
      <c r="E7" t="s">
        <v>17</v>
      </c>
      <c r="F7">
        <v>9</v>
      </c>
      <c r="G7">
        <v>800</v>
      </c>
      <c r="H7" t="s">
        <v>13</v>
      </c>
      <c r="I7" s="3">
        <f>F7*G7</f>
        <v>7200</v>
      </c>
    </row>
    <row r="8" spans="1:9">
      <c r="A8" t="s">
        <v>31</v>
      </c>
      <c r="B8" s="8">
        <v>45508</v>
      </c>
      <c r="C8" t="s">
        <v>32</v>
      </c>
      <c r="D8" t="s">
        <v>21</v>
      </c>
      <c r="E8" t="s">
        <v>22</v>
      </c>
      <c r="F8">
        <v>4</v>
      </c>
      <c r="G8">
        <v>300</v>
      </c>
      <c r="H8" t="s">
        <v>18</v>
      </c>
      <c r="I8" s="3">
        <f>F8*G8</f>
        <v>1200</v>
      </c>
    </row>
    <row r="9" spans="1:9">
      <c r="A9" t="s">
        <v>33</v>
      </c>
      <c r="B9" s="8">
        <v>45630</v>
      </c>
      <c r="C9" t="s">
        <v>10</v>
      </c>
      <c r="D9" t="s">
        <v>25</v>
      </c>
      <c r="E9" t="s">
        <v>29</v>
      </c>
      <c r="F9">
        <v>7</v>
      </c>
      <c r="G9">
        <v>950</v>
      </c>
      <c r="H9" t="s">
        <v>13</v>
      </c>
      <c r="I9" s="3">
        <f>F9*G9</f>
        <v>6650</v>
      </c>
    </row>
    <row r="10" spans="1:9">
      <c r="A10" t="s">
        <v>34</v>
      </c>
      <c r="B10" s="8" t="s">
        <v>35</v>
      </c>
      <c r="C10" t="s">
        <v>15</v>
      </c>
      <c r="D10" t="s">
        <v>11</v>
      </c>
      <c r="E10" t="s">
        <v>12</v>
      </c>
      <c r="F10">
        <v>11</v>
      </c>
      <c r="G10">
        <v>500</v>
      </c>
      <c r="H10" t="s">
        <v>13</v>
      </c>
      <c r="I10" s="3">
        <f>F10*G10</f>
        <v>5500</v>
      </c>
    </row>
    <row r="11" spans="1:9">
      <c r="A11" t="s">
        <v>36</v>
      </c>
      <c r="B11" s="8" t="s">
        <v>37</v>
      </c>
      <c r="C11" t="s">
        <v>32</v>
      </c>
      <c r="D11" t="s">
        <v>16</v>
      </c>
      <c r="E11" t="s">
        <v>17</v>
      </c>
      <c r="F11">
        <v>3</v>
      </c>
      <c r="G11">
        <v>800</v>
      </c>
      <c r="H11" t="s">
        <v>26</v>
      </c>
      <c r="I11" s="3">
        <f>F11*G11</f>
        <v>2400</v>
      </c>
    </row>
    <row r="12" spans="1:9">
      <c r="A12" t="s">
        <v>38</v>
      </c>
      <c r="B12" s="8">
        <v>45356</v>
      </c>
      <c r="C12" t="s">
        <v>20</v>
      </c>
      <c r="D12" t="s">
        <v>21</v>
      </c>
      <c r="E12" t="s">
        <v>29</v>
      </c>
      <c r="F12">
        <v>8</v>
      </c>
      <c r="G12">
        <v>950</v>
      </c>
      <c r="H12" t="s">
        <v>13</v>
      </c>
      <c r="I12" s="3">
        <f>F12*G12</f>
        <v>7600</v>
      </c>
    </row>
    <row r="13" spans="1:9">
      <c r="A13" t="s">
        <v>39</v>
      </c>
      <c r="B13" s="8">
        <v>45540</v>
      </c>
      <c r="C13" t="s">
        <v>10</v>
      </c>
      <c r="D13" t="s">
        <v>25</v>
      </c>
      <c r="E13" t="s">
        <v>22</v>
      </c>
      <c r="F13">
        <v>6</v>
      </c>
      <c r="G13">
        <v>300</v>
      </c>
      <c r="H13" t="s">
        <v>18</v>
      </c>
      <c r="I13" s="3">
        <f>F13*G13</f>
        <v>1800</v>
      </c>
    </row>
    <row r="14" spans="1:9">
      <c r="A14" t="s">
        <v>40</v>
      </c>
      <c r="B14" s="8" t="s">
        <v>41</v>
      </c>
      <c r="C14" t="s">
        <v>32</v>
      </c>
      <c r="D14" t="s">
        <v>11</v>
      </c>
      <c r="E14" t="s">
        <v>12</v>
      </c>
      <c r="F14">
        <v>9</v>
      </c>
      <c r="G14">
        <v>500</v>
      </c>
      <c r="H14" t="s">
        <v>13</v>
      </c>
      <c r="I14" s="3">
        <f>F14*G14</f>
        <v>4500</v>
      </c>
    </row>
    <row r="15" spans="1:9">
      <c r="A15" t="s">
        <v>42</v>
      </c>
      <c r="B15" s="8" t="s">
        <v>43</v>
      </c>
      <c r="C15" t="s">
        <v>15</v>
      </c>
      <c r="D15" t="s">
        <v>16</v>
      </c>
      <c r="E15" t="s">
        <v>29</v>
      </c>
      <c r="F15">
        <v>5</v>
      </c>
      <c r="G15">
        <v>950</v>
      </c>
      <c r="H15" t="s">
        <v>13</v>
      </c>
      <c r="I15" s="3">
        <f>F15*G15</f>
        <v>4750</v>
      </c>
    </row>
    <row r="16" spans="1:9">
      <c r="A16" t="s">
        <v>44</v>
      </c>
      <c r="B16" s="8" t="s">
        <v>45</v>
      </c>
      <c r="C16" t="s">
        <v>20</v>
      </c>
      <c r="D16" t="s">
        <v>21</v>
      </c>
      <c r="E16" t="s">
        <v>17</v>
      </c>
      <c r="F16">
        <v>7</v>
      </c>
      <c r="G16">
        <v>800</v>
      </c>
      <c r="H16" t="s">
        <v>26</v>
      </c>
      <c r="I16" s="3">
        <f>F16*G16</f>
        <v>5600</v>
      </c>
    </row>
    <row r="17" spans="1:10">
      <c r="A17" t="s">
        <v>46</v>
      </c>
      <c r="B17" s="8">
        <v>45388</v>
      </c>
      <c r="C17" t="s">
        <v>32</v>
      </c>
      <c r="D17" t="s">
        <v>25</v>
      </c>
      <c r="E17" t="s">
        <v>12</v>
      </c>
      <c r="F17">
        <v>10</v>
      </c>
      <c r="G17">
        <v>500</v>
      </c>
      <c r="H17" t="s">
        <v>13</v>
      </c>
      <c r="I17" s="3">
        <f>F17*G17</f>
        <v>5000</v>
      </c>
    </row>
    <row r="18" spans="1:10">
      <c r="A18" t="s">
        <v>47</v>
      </c>
      <c r="B18" s="8">
        <v>45602</v>
      </c>
      <c r="C18" t="s">
        <v>10</v>
      </c>
      <c r="D18" t="s">
        <v>11</v>
      </c>
      <c r="E18" t="s">
        <v>29</v>
      </c>
      <c r="F18">
        <v>4</v>
      </c>
      <c r="G18">
        <v>950</v>
      </c>
      <c r="H18" t="s">
        <v>18</v>
      </c>
      <c r="I18" s="3">
        <f>F18*G18</f>
        <v>3800</v>
      </c>
    </row>
    <row r="19" spans="1:10">
      <c r="A19" t="s">
        <v>48</v>
      </c>
      <c r="B19" s="8" t="s">
        <v>49</v>
      </c>
      <c r="C19" t="s">
        <v>15</v>
      </c>
      <c r="D19" t="s">
        <v>16</v>
      </c>
      <c r="E19" t="s">
        <v>22</v>
      </c>
      <c r="F19">
        <v>8</v>
      </c>
      <c r="G19">
        <v>300</v>
      </c>
      <c r="H19" t="s">
        <v>13</v>
      </c>
      <c r="I19" s="3">
        <f>F19*G19</f>
        <v>2400</v>
      </c>
    </row>
    <row r="20" spans="1:10">
      <c r="A20" t="s">
        <v>50</v>
      </c>
      <c r="B20" s="8" t="s">
        <v>51</v>
      </c>
      <c r="C20" t="s">
        <v>32</v>
      </c>
      <c r="D20" t="s">
        <v>21</v>
      </c>
      <c r="E20" t="s">
        <v>17</v>
      </c>
      <c r="F20">
        <v>6</v>
      </c>
      <c r="G20">
        <v>800</v>
      </c>
      <c r="H20" t="s">
        <v>13</v>
      </c>
      <c r="I20" s="3">
        <f>F20*G20</f>
        <v>4800</v>
      </c>
    </row>
    <row r="21" spans="1:10">
      <c r="A21" t="s">
        <v>52</v>
      </c>
      <c r="B21" s="8" t="s">
        <v>53</v>
      </c>
      <c r="C21" t="s">
        <v>20</v>
      </c>
      <c r="D21" t="s">
        <v>25</v>
      </c>
      <c r="E21" t="s">
        <v>12</v>
      </c>
      <c r="F21">
        <v>11</v>
      </c>
      <c r="G21">
        <v>500</v>
      </c>
      <c r="H21" t="s">
        <v>13</v>
      </c>
      <c r="I21" s="3">
        <f>F21*G21</f>
        <v>5500</v>
      </c>
    </row>
    <row r="22" spans="1:10">
      <c r="J22" s="3"/>
    </row>
    <row r="23" spans="1:10">
      <c r="J23" s="3"/>
    </row>
    <row r="24" spans="1:10">
      <c r="J2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72B7-815D-49D7-9F4D-9D7593AFDBB6}">
  <dimension ref="A3:B87"/>
  <sheetViews>
    <sheetView workbookViewId="0">
      <selection activeCell="F48" sqref="F48"/>
    </sheetView>
  </sheetViews>
  <sheetFormatPr defaultRowHeight="15"/>
  <cols>
    <col min="1" max="1" width="11.140625" bestFit="1" customWidth="1"/>
    <col min="2" max="2" width="15" bestFit="1" customWidth="1"/>
  </cols>
  <sheetData>
    <row r="3" spans="1:2">
      <c r="A3" s="4" t="s">
        <v>3</v>
      </c>
      <c r="B3" t="s">
        <v>54</v>
      </c>
    </row>
    <row r="4" spans="1:2">
      <c r="A4" t="s">
        <v>21</v>
      </c>
      <c r="B4" s="3">
        <v>21600</v>
      </c>
    </row>
    <row r="5" spans="1:2">
      <c r="A5" t="s">
        <v>11</v>
      </c>
      <c r="B5" s="3">
        <v>24500</v>
      </c>
    </row>
    <row r="6" spans="1:2">
      <c r="A6" t="s">
        <v>16</v>
      </c>
      <c r="B6" s="3">
        <v>20750</v>
      </c>
    </row>
    <row r="7" spans="1:2">
      <c r="A7" t="s">
        <v>25</v>
      </c>
      <c r="B7" s="3">
        <v>24950</v>
      </c>
    </row>
    <row r="8" spans="1:2">
      <c r="A8" t="s">
        <v>55</v>
      </c>
      <c r="B8" s="3">
        <v>91800</v>
      </c>
    </row>
    <row r="53" spans="1:2">
      <c r="A53" s="4" t="s">
        <v>2</v>
      </c>
      <c r="B53" t="s">
        <v>54</v>
      </c>
    </row>
    <row r="54" spans="1:2">
      <c r="A54" t="s">
        <v>20</v>
      </c>
      <c r="B54" s="3">
        <v>28300</v>
      </c>
    </row>
    <row r="55" spans="1:2">
      <c r="A55" t="s">
        <v>10</v>
      </c>
      <c r="B55" s="3">
        <v>23250</v>
      </c>
    </row>
    <row r="56" spans="1:2">
      <c r="A56" t="s">
        <v>15</v>
      </c>
      <c r="B56" s="3">
        <v>22350</v>
      </c>
    </row>
    <row r="57" spans="1:2">
      <c r="A57" t="s">
        <v>32</v>
      </c>
      <c r="B57" s="3">
        <v>17900</v>
      </c>
    </row>
    <row r="58" spans="1:2">
      <c r="A58" t="s">
        <v>55</v>
      </c>
      <c r="B58" s="3">
        <v>91800</v>
      </c>
    </row>
    <row r="82" spans="1:2">
      <c r="A82" s="4" t="s">
        <v>4</v>
      </c>
      <c r="B82" t="s">
        <v>54</v>
      </c>
    </row>
    <row r="83" spans="1:2">
      <c r="A83" t="s">
        <v>12</v>
      </c>
      <c r="B83" s="3">
        <v>31500</v>
      </c>
    </row>
    <row r="84" spans="1:2">
      <c r="A84" t="s">
        <v>17</v>
      </c>
      <c r="B84" s="3">
        <v>24000</v>
      </c>
    </row>
    <row r="85" spans="1:2">
      <c r="A85" t="s">
        <v>22</v>
      </c>
      <c r="B85" s="3">
        <v>7800</v>
      </c>
    </row>
    <row r="86" spans="1:2">
      <c r="A86" t="s">
        <v>29</v>
      </c>
      <c r="B86" s="3">
        <v>28500</v>
      </c>
    </row>
    <row r="87" spans="1:2">
      <c r="A87" t="s">
        <v>55</v>
      </c>
      <c r="B87" s="3">
        <v>91800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745B-BEDF-4C4E-AA5D-95BE100A98F0}">
  <dimension ref="G4:I13"/>
  <sheetViews>
    <sheetView workbookViewId="0">
      <selection activeCell="J3" sqref="J3"/>
    </sheetView>
  </sheetViews>
  <sheetFormatPr defaultRowHeight="15"/>
  <cols>
    <col min="4" max="4" width="14.7109375" bestFit="1" customWidth="1"/>
    <col min="7" max="7" width="17" bestFit="1" customWidth="1"/>
    <col min="8" max="8" width="10.85546875" bestFit="1" customWidth="1"/>
  </cols>
  <sheetData>
    <row r="4" spans="7:9">
      <c r="G4" s="1" t="s">
        <v>56</v>
      </c>
      <c r="H4" s="1" t="s">
        <v>8</v>
      </c>
    </row>
    <row r="5" spans="7:9">
      <c r="G5" t="s">
        <v>13</v>
      </c>
      <c r="H5">
        <v>67000</v>
      </c>
    </row>
    <row r="6" spans="7:9">
      <c r="G6" t="s">
        <v>18</v>
      </c>
      <c r="H6">
        <v>10800</v>
      </c>
    </row>
    <row r="7" spans="7:9">
      <c r="G7" t="s">
        <v>26</v>
      </c>
      <c r="H7">
        <v>14000</v>
      </c>
    </row>
    <row r="10" spans="7:9">
      <c r="G10" s="5" t="s">
        <v>57</v>
      </c>
      <c r="H10" s="5"/>
      <c r="I10" s="5"/>
    </row>
    <row r="11" spans="7:9">
      <c r="G11" s="6" t="s">
        <v>58</v>
      </c>
      <c r="H11" s="6"/>
      <c r="I11" s="6"/>
    </row>
    <row r="12" spans="7:9">
      <c r="G12" s="6" t="s">
        <v>59</v>
      </c>
      <c r="H12" s="6"/>
      <c r="I12" s="6"/>
    </row>
    <row r="13" spans="7:9">
      <c r="G13" s="6" t="s">
        <v>60</v>
      </c>
      <c r="H13" s="6"/>
      <c r="I13" s="6"/>
    </row>
  </sheetData>
  <mergeCells count="4">
    <mergeCell ref="G11:I11"/>
    <mergeCell ref="G12:I12"/>
    <mergeCell ref="G13:I13"/>
    <mergeCell ref="G10:I1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2026-06-25T03:32:15Z</dcterms:created>
  <dcterms:modified xsi:type="dcterms:W3CDTF">2026-06-27T06:56:17Z</dcterms:modified>
  <cp:category/>
  <cp:contentStatus/>
</cp:coreProperties>
</file>